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<sst xmlns="http://schemas.openxmlformats.org/spreadsheetml/2006/main" count="119" uniqueCount="76">
  <si>
    <t xml:space="preserve">Name</t>
  </si>
  <si>
    <t xml:space="preserve">Number</t>
  </si>
  <si>
    <t xml:space="preserve">Vendor</t>
  </si>
  <si>
    <t xml:space="preserve">In Stock?</t>
  </si>
  <si>
    <t xml:space="preserve">Delivery Date</t>
  </si>
  <si>
    <t xml:space="preserve">Unit Price</t>
  </si>
  <si>
    <t xml:space="preserve">Amount</t>
  </si>
  <si>
    <t xml:space="preserve">Link</t>
  </si>
  <si>
    <t xml:space="preserve">Hosyond 3pcs I2C IIC 1602 LCD Display Module</t>
  </si>
  <si>
    <t xml:space="preserve">Amazon</t>
  </si>
  <si>
    <t xml:space="preserve">Y</t>
  </si>
  <si>
    <t xml:space="preserve">https://www.amazon.com/dp/B0BWTFN9WF?newOGT=1</t>
  </si>
  <si>
    <t xml:space="preserve">Autodesk License Proof:</t>
  </si>
  <si>
    <t xml:space="preserve"> HC-SR04 Ultrasonic Sensor Module (5 Sets)</t>
  </si>
  <si>
    <t xml:space="preserve">https://www.amazon.com/dp/B01COSN7O6?psc=1&amp;newOGT=1</t>
  </si>
  <si>
    <t xml:space="preserve">BS170FTA 60V 0.15MA SMD Mosfet</t>
  </si>
  <si>
    <t xml:space="preserve">BS170FCT-ND</t>
  </si>
  <si>
    <t xml:space="preserve">Digikey</t>
  </si>
  <si>
    <t xml:space="preserve">https://www.digikey.com/en/products/detail/diodes-incorporated/BS170FTA/53877</t>
  </si>
  <si>
    <t xml:space="preserve">MSP430 G2553 IPW20R</t>
  </si>
  <si>
    <t xml:space="preserve">296-28430-1-ND</t>
  </si>
  <si>
    <t xml:space="preserve">https://www.digikey.com/en/products/detail/texas-instruments/MSP430G2553IPW20R/2638886</t>
  </si>
  <si>
    <t xml:space="preserve">California JOS 1 PCS Breadboard 830</t>
  </si>
  <si>
    <t xml:space="preserve">B0BRQX6G3T</t>
  </si>
  <si>
    <t xml:space="preserve">https://www.amazon.com/dp/B0CJHT8T39?newOGT=1</t>
  </si>
  <si>
    <t xml:space="preserve">WAYLLSHINE 2x1.5V AA Battery Holder Case Box</t>
  </si>
  <si>
    <t xml:space="preserve">https://www.amazon.com/dp/B09R43HCY3?newOGT=1</t>
  </si>
  <si>
    <t xml:space="preserve">Chanzon SPDT Mini Micro Slide Switch 1p2t 3mm</t>
  </si>
  <si>
    <t xml:space="preserve">B09R43HCY3</t>
  </si>
  <si>
    <t xml:space="preserve">Honbay 6x6x4.3mm 4pin micro scm/smt button</t>
  </si>
  <si>
    <t xml:space="preserve">B077N3D7BD</t>
  </si>
  <si>
    <t xml:space="preserve">https://www.amazon.com/dp/B077N3D7BD?newOGT=1</t>
  </si>
  <si>
    <t xml:space="preserve">CL21A226MQQNNNE</t>
  </si>
  <si>
    <t xml:space="preserve">1276-1100-1-ND</t>
  </si>
  <si>
    <t xml:space="preserve">https://www.digikey.com/en/products/detail/samsung-electro-mechanics/CL21A226MQQNNNE/3886758</t>
  </si>
  <si>
    <t xml:space="preserve">LQM18PN4R7MFRL</t>
  </si>
  <si>
    <t xml:space="preserve">490-12065-1-ND</t>
  </si>
  <si>
    <t xml:space="preserve">https://www.digikey.com/en/products/detail/murata-electronics/LQM18PN4R7MFRL/4359186</t>
  </si>
  <si>
    <t xml:space="preserve">TPS613221ADBVR</t>
  </si>
  <si>
    <t xml:space="preserve">296-50502-1-ND</t>
  </si>
  <si>
    <t xml:space="preserve">https://www.digikey.com/en/products/detail/texas-instruments/TPS613221ADBVR/8638375</t>
  </si>
  <si>
    <t xml:space="preserve">TPS613222ADBVR</t>
  </si>
  <si>
    <t xml:space="preserve">296-50503-1-ND</t>
  </si>
  <si>
    <t xml:space="preserve">l</t>
  </si>
  <si>
    <t xml:space="preserve">https://www.digikey.com/en/products/detail/texas-instruments/TPS613222ADBVR/8638376</t>
  </si>
  <si>
    <t xml:space="preserve">Flutesan 12 Pieces 10K Ohm Trim Potentiometer</t>
  </si>
  <si>
    <t xml:space="preserve">B09G9TBY38</t>
  </si>
  <si>
    <t xml:space="preserve">https://www.amazon.com/dp/B09G9TBY38?newOGT=1</t>
  </si>
  <si>
    <t xml:space="preserve">RC1206FR-0710KL</t>
  </si>
  <si>
    <t xml:space="preserve">311-10.0KFRCT-ND</t>
  </si>
  <si>
    <t xml:space="preserve">https://www.digikey.com/en/products/detail/yageo/RC1206FR-0710KL/728483</t>
  </si>
  <si>
    <t xml:space="preserve">1206B473K500CT</t>
  </si>
  <si>
    <t xml:space="preserve">1292-1614-1-ND</t>
  </si>
  <si>
    <t xml:space="preserve">https://www.digikey.com/en/products/detail/walsin-technology-corporation/1206B473K500CT/9355111</t>
  </si>
  <si>
    <t xml:space="preserve">RC1206FR-071KL</t>
  </si>
  <si>
    <t xml:space="preserve">311-1.00KFRCT-ND</t>
  </si>
  <si>
    <t xml:space="preserve">https://www.digikey.com/en/products/detail/yageo/RC1206FR-071KL/728387</t>
  </si>
  <si>
    <t xml:space="preserve">RMCF1206JT510R</t>
  </si>
  <si>
    <t xml:space="preserve">RMCF1206JT510RCT-ND</t>
  </si>
  <si>
    <t xml:space="preserve">https://www.digikey.com/en/products/detail/stackpole-electronics-inc/RMCF1206JT510R/1753855</t>
  </si>
  <si>
    <t xml:space="preserve">CHANZON Super Bright Lighting Bulb</t>
  </si>
  <si>
    <t xml:space="preserve">B01CUGA8JO</t>
  </si>
  <si>
    <t xml:space="preserve">https://www.amazon.com/dp/B01CUGA8JO?newOGT=1</t>
  </si>
  <si>
    <t xml:space="preserve">MSP-EXP430G2ET</t>
  </si>
  <si>
    <t xml:space="preserve">296-50264-ND</t>
  </si>
  <si>
    <t xml:space="preserve">https://www.digikey.com/en/products/detail/texas-instruments/MSP-EXP430G2ET/9608004?s=N4IgTCBcDaILIGcAOAWAzABgOZgKy7QAIATAUwDdSAbAeyQFtSA7AF0ICMaBDAJ2JAC6AXyA</t>
  </si>
  <si>
    <t xml:space="preserve">Kystaii Straight Single Row 40 Pin .1 Male Header</t>
  </si>
  <si>
    <t xml:space="preserve">B06ZZN8L9S</t>
  </si>
  <si>
    <t xml:space="preserve">https://www.amazon.com/dp/B06ZZN8L9S?newOGT=1</t>
  </si>
  <si>
    <t xml:space="preserve">Female Pin Headers 4pin</t>
  </si>
  <si>
    <t xml:space="preserve">https://www.amazon.com/dp/B08T5S54C5?newOGT=1</t>
  </si>
  <si>
    <t xml:space="preserve">Dupont Wire All 3 Types</t>
  </si>
  <si>
    <t xml:space="preserve">https://www.amazon.com/dp/B01EV70C78?psc=1&amp;newOGT=1</t>
  </si>
  <si>
    <t xml:space="preserve">Duracel AA Battery</t>
  </si>
  <si>
    <t xml:space="preserve">https://www.amazon.com/dp/B074W8XFT8?newOGT=1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</si>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</sst>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$-409]#,##0.00;[RED]\-[$$-409]#,##0.00"/>
    <numFmt numFmtId="166" formatCode="0"/>
    <numFmt numFmtId="167" formatCode="mm/dd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10440</xdr:colOff>
      <xdr:row>2</xdr:row>
      <xdr:rowOff>10440</xdr:rowOff>
    </xdr:from>
    <xdr:to>
      <xdr:col>13</xdr:col>
      <xdr:colOff>531000</xdr:colOff>
      <xdr:row>5</xdr:row>
      <xdr:rowOff>95760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1870280" y="334440"/>
          <a:ext cx="2966760" cy="570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mazon.com/dp/B0BWTFN9WF?newOGT=1" TargetMode="External"/><Relationship Id="rId2" Type="http://schemas.openxmlformats.org/officeDocument/2006/relationships/hyperlink" Target="https://www.amazon.com/dp/B01COSN7O6?psc=1&amp;newOGT=1" TargetMode="External"/><Relationship Id="rId3" Type="http://schemas.openxmlformats.org/officeDocument/2006/relationships/hyperlink" Target="https://www.digikey.com/en/products/detail/diodes-incorporated/BS170FTA/53877" TargetMode="External"/><Relationship Id="rId4" Type="http://schemas.openxmlformats.org/officeDocument/2006/relationships/hyperlink" Target="https://www.digikey.com/en/products/detail/texas-instruments/MSP430G2553IPW20R/2638886" TargetMode="External"/><Relationship Id="rId5" Type="http://schemas.openxmlformats.org/officeDocument/2006/relationships/hyperlink" Target="https://www.amazon.com/dp/B0CJHT8T39?newOGT=1" TargetMode="External"/><Relationship Id="rId6" Type="http://schemas.openxmlformats.org/officeDocument/2006/relationships/hyperlink" Target="https://www.amazon.com/dp/B09R43HCY3?newOGT=1" TargetMode="External"/><Relationship Id="rId7" Type="http://schemas.openxmlformats.org/officeDocument/2006/relationships/hyperlink" Target="https://www.amazon.com/dp/B09R43HCY3?newOGT=1" TargetMode="External"/><Relationship Id="rId8" Type="http://schemas.openxmlformats.org/officeDocument/2006/relationships/hyperlink" Target="https://www.amazon.com/dp/B077N3D7BD?newOGT=1" TargetMode="External"/><Relationship Id="rId9" Type="http://schemas.openxmlformats.org/officeDocument/2006/relationships/hyperlink" Target="https://www.digikey.com/en/products/detail/samsung-electro-mechanics/CL21A226MQQNNNE/3886758" TargetMode="External"/><Relationship Id="rId10" Type="http://schemas.openxmlformats.org/officeDocument/2006/relationships/hyperlink" Target="https://www.digikey.com/en/products/detail/murata-electronics/LQM18PN4R7MFRL/4359186" TargetMode="External"/><Relationship Id="rId11" Type="http://schemas.openxmlformats.org/officeDocument/2006/relationships/hyperlink" Target="https://www.digikey.com/en/products/detail/texas-instruments/TPS613221ADBVR/8638375" TargetMode="External"/><Relationship Id="rId12" Type="http://schemas.openxmlformats.org/officeDocument/2006/relationships/hyperlink" Target="https://www.digikey.com/en/products/detail/texas-instruments/TPS613222ADBVR/8638376" TargetMode="External"/><Relationship Id="rId13" Type="http://schemas.openxmlformats.org/officeDocument/2006/relationships/hyperlink" Target="https://www.amazon.com/dp/B09G9TBY38?newOGT=1" TargetMode="External"/><Relationship Id="rId14" Type="http://schemas.openxmlformats.org/officeDocument/2006/relationships/hyperlink" Target="https://www.digikey.com/en/products/detail/yageo/RC1206FR-0710KL/728483" TargetMode="External"/><Relationship Id="rId15" Type="http://schemas.openxmlformats.org/officeDocument/2006/relationships/hyperlink" Target="https://www.digikey.com/en/products/detail/walsin-technology-corporation/1206B473K500CT/9355111" TargetMode="External"/><Relationship Id="rId16" Type="http://schemas.openxmlformats.org/officeDocument/2006/relationships/hyperlink" Target="https://www.digikey.com/en/products/detail/yageo/RC1206FR-071KL/728387" TargetMode="External"/><Relationship Id="rId17" Type="http://schemas.openxmlformats.org/officeDocument/2006/relationships/hyperlink" Target="https://www.digikey.com/en/products/detail/stackpole-electronics-inc/RMCF1206JT510R/1753855" TargetMode="External"/><Relationship Id="rId18" Type="http://schemas.openxmlformats.org/officeDocument/2006/relationships/hyperlink" Target="https://www.amazon.com/dp/B01CUGA8JO?newOGT=1" TargetMode="External"/><Relationship Id="rId19" Type="http://schemas.openxmlformats.org/officeDocument/2006/relationships/hyperlink" Target="https://www.digikey.com/en/products/detail/texas-instruments/MSP-EXP430G2ET/9608004?s=N4IgTCBcDaILIGcAOAWAzABgOZgKy7QAIATAUwDdSAbAeyQFtSA7AF0ICMaBDAJ2JAC6AXyA" TargetMode="External"/><Relationship Id="rId20" Type="http://schemas.openxmlformats.org/officeDocument/2006/relationships/hyperlink" Target="https://www.amazon.com/dp/B06ZZN8L9S?newOGT=1" TargetMode="External"/><Relationship Id="rId21" Type="http://schemas.openxmlformats.org/officeDocument/2006/relationships/hyperlink" Target="https://www.amazon.com/dp/B08T5S54C5?newOGT=1" TargetMode="External"/><Relationship Id="rId22" Type="http://schemas.openxmlformats.org/officeDocument/2006/relationships/hyperlink" Target="https://www.amazon.com/dp/B01EV70C78?psc=1&amp;newOGT=1" TargetMode="External"/><Relationship Id="rId23" Type="http://schemas.openxmlformats.org/officeDocument/2006/relationships/hyperlink" Target="https://www.amazon.com/dp/B074W8XFT8?newOGT=1" TargetMode="External"/><Relationship Id="rId2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true" showOutlineSymbols="true" defaultGridColor="true" view="normal" topLeftCell="E1" colorId="64" zoomScale="190" zoomScaleNormal="190" zoomScalePageLayoutView="100" workbookViewId="0">
      <selection pane="topLeft" activeCell="K12" activeCellId="0" sqref="K1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47.14"/>
    <col collapsed="false" customWidth="true" hidden="false" outlineLevel="0" max="2" min="2" style="1" width="28.14"/>
    <col collapsed="false" customWidth="false" hidden="false" outlineLevel="0" max="4" min="3" style="1" width="11.57"/>
    <col collapsed="false" customWidth="true" hidden="false" outlineLevel="0" max="5" min="5" style="1" width="12"/>
    <col collapsed="false" customWidth="false" hidden="false" outlineLevel="0" max="6" min="6" style="2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0" t="s">
        <v>6</v>
      </c>
      <c r="H1" s="0" t="s">
        <v>7</v>
      </c>
    </row>
    <row r="2" customFormat="false" ht="12.75" hidden="false" customHeight="false" outlineLevel="0" collapsed="false">
      <c r="A2" s="1" t="s">
        <v>8</v>
      </c>
      <c r="B2" s="3" t="n">
        <v>732214748071</v>
      </c>
      <c r="C2" s="1" t="s">
        <v>9</v>
      </c>
      <c r="D2" s="1" t="s">
        <v>10</v>
      </c>
      <c r="E2" s="4" t="n">
        <v>46037</v>
      </c>
      <c r="F2" s="2" t="n">
        <f aca="false">12.99/3</f>
        <v>4.33</v>
      </c>
      <c r="G2" s="0" t="n">
        <v>3</v>
      </c>
      <c r="H2" s="5" t="s">
        <v>11</v>
      </c>
      <c r="I2" s="6" t="n">
        <f aca="false">F2*G2</f>
        <v>12.99</v>
      </c>
      <c r="K2" s="0" t="s">
        <v>12</v>
      </c>
    </row>
    <row r="3" customFormat="false" ht="12.75" hidden="false" customHeight="false" outlineLevel="0" collapsed="false">
      <c r="A3" s="1" t="s">
        <v>13</v>
      </c>
      <c r="B3" s="3" t="n">
        <v>746591610333</v>
      </c>
      <c r="C3" s="1" t="s">
        <v>9</v>
      </c>
      <c r="D3" s="1" t="s">
        <v>10</v>
      </c>
      <c r="E3" s="4" t="n">
        <v>46037</v>
      </c>
      <c r="F3" s="2" t="n">
        <f aca="false">8.99/5</f>
        <v>1.798</v>
      </c>
      <c r="G3" s="0" t="n">
        <v>5</v>
      </c>
      <c r="H3" s="5" t="s">
        <v>14</v>
      </c>
      <c r="I3" s="6" t="n">
        <f aca="false">F3*G3</f>
        <v>8.99</v>
      </c>
    </row>
    <row r="4" customFormat="false" ht="12.75" hidden="false" customHeight="false" outlineLevel="0" collapsed="false">
      <c r="A4" s="1" t="s">
        <v>15</v>
      </c>
      <c r="B4" s="3" t="s">
        <v>16</v>
      </c>
      <c r="C4" s="1" t="s">
        <v>17</v>
      </c>
      <c r="D4" s="1" t="s">
        <v>10</v>
      </c>
      <c r="E4" s="4" t="n">
        <v>46043</v>
      </c>
      <c r="F4" s="2" t="n">
        <v>1.08</v>
      </c>
      <c r="G4" s="0" t="n">
        <v>1</v>
      </c>
      <c r="H4" s="5" t="s">
        <v>18</v>
      </c>
      <c r="I4" s="6" t="n">
        <f aca="false">F4*G4</f>
        <v>1.08</v>
      </c>
    </row>
    <row r="5" customFormat="false" ht="12.75" hidden="false" customHeight="false" outlineLevel="0" collapsed="false">
      <c r="A5" s="1" t="s">
        <v>19</v>
      </c>
      <c r="B5" s="3" t="s">
        <v>20</v>
      </c>
      <c r="C5" s="1" t="s">
        <v>17</v>
      </c>
      <c r="D5" s="1" t="s">
        <v>10</v>
      </c>
      <c r="E5" s="4" t="n">
        <v>46043</v>
      </c>
      <c r="F5" s="2" t="n">
        <v>3.08</v>
      </c>
      <c r="G5" s="0" t="n">
        <v>1</v>
      </c>
      <c r="H5" s="5" t="s">
        <v>21</v>
      </c>
      <c r="I5" s="6" t="n">
        <f aca="false">F5*G5</f>
        <v>3.08</v>
      </c>
    </row>
    <row r="6" customFormat="false" ht="12.75" hidden="false" customHeight="false" outlineLevel="0" collapsed="false">
      <c r="A6" s="1" t="s">
        <v>22</v>
      </c>
      <c r="B6" s="3" t="s">
        <v>23</v>
      </c>
      <c r="C6" s="1" t="s">
        <v>9</v>
      </c>
      <c r="D6" s="1" t="s">
        <v>10</v>
      </c>
      <c r="E6" s="4" t="n">
        <v>46037</v>
      </c>
      <c r="F6" s="2" t="n">
        <v>3.99</v>
      </c>
      <c r="G6" s="0" t="n">
        <v>1</v>
      </c>
      <c r="H6" s="5" t="s">
        <v>24</v>
      </c>
      <c r="I6" s="6" t="n">
        <f aca="false">F6*G6</f>
        <v>3.99</v>
      </c>
    </row>
    <row r="7" customFormat="false" ht="12.75" hidden="false" customHeight="false" outlineLevel="0" collapsed="false">
      <c r="A7" s="1" t="s">
        <v>25</v>
      </c>
      <c r="B7" s="3" t="n">
        <v>607841995023</v>
      </c>
      <c r="C7" s="1" t="s">
        <v>9</v>
      </c>
      <c r="D7" s="1" t="s">
        <v>10</v>
      </c>
      <c r="E7" s="4" t="n">
        <v>46037</v>
      </c>
      <c r="F7" s="2" t="n">
        <f aca="false">35.99/100</f>
        <v>0.3599</v>
      </c>
      <c r="G7" s="0" t="n">
        <v>100</v>
      </c>
      <c r="H7" s="5" t="s">
        <v>26</v>
      </c>
      <c r="I7" s="6" t="n">
        <f aca="false">F7*G7</f>
        <v>35.99</v>
      </c>
    </row>
    <row r="8" customFormat="false" ht="12.75" hidden="false" customHeight="false" outlineLevel="0" collapsed="false">
      <c r="A8" s="1" t="s">
        <v>27</v>
      </c>
      <c r="B8" s="3" t="s">
        <v>28</v>
      </c>
      <c r="C8" s="1" t="s">
        <v>9</v>
      </c>
      <c r="D8" s="1" t="s">
        <v>10</v>
      </c>
      <c r="E8" s="4" t="n">
        <v>46040</v>
      </c>
      <c r="F8" s="2" t="n">
        <f aca="false">6.99/70</f>
        <v>0.0998571428571429</v>
      </c>
      <c r="G8" s="0" t="n">
        <v>70</v>
      </c>
      <c r="H8" s="5" t="s">
        <v>26</v>
      </c>
      <c r="I8" s="6" t="n">
        <f aca="false">F8*G8</f>
        <v>6.99</v>
      </c>
    </row>
    <row r="9" customFormat="false" ht="12.75" hidden="false" customHeight="false" outlineLevel="0" collapsed="false">
      <c r="A9" s="1" t="s">
        <v>29</v>
      </c>
      <c r="B9" s="3" t="s">
        <v>30</v>
      </c>
      <c r="C9" s="1" t="s">
        <v>9</v>
      </c>
      <c r="D9" s="1" t="s">
        <v>10</v>
      </c>
      <c r="E9" s="4" t="n">
        <v>46038</v>
      </c>
      <c r="F9" s="2" t="n">
        <f aca="false">5.59/100</f>
        <v>0.0559</v>
      </c>
      <c r="G9" s="0" t="n">
        <v>100</v>
      </c>
      <c r="H9" s="5" t="s">
        <v>31</v>
      </c>
      <c r="I9" s="6" t="n">
        <f aca="false">F9*G9</f>
        <v>5.59</v>
      </c>
    </row>
    <row r="10" customFormat="false" ht="12.75" hidden="false" customHeight="false" outlineLevel="0" collapsed="false">
      <c r="A10" s="1" t="s">
        <v>32</v>
      </c>
      <c r="B10" s="3" t="s">
        <v>33</v>
      </c>
      <c r="C10" s="1" t="s">
        <v>17</v>
      </c>
      <c r="D10" s="1" t="s">
        <v>10</v>
      </c>
      <c r="E10" s="4" t="n">
        <v>46043</v>
      </c>
      <c r="F10" s="2" t="n">
        <v>0.12</v>
      </c>
      <c r="G10" s="0" t="n">
        <v>4</v>
      </c>
      <c r="H10" s="5" t="s">
        <v>34</v>
      </c>
      <c r="I10" s="6" t="n">
        <f aca="false">F10*G10</f>
        <v>0.48</v>
      </c>
    </row>
    <row r="11" customFormat="false" ht="12.75" hidden="false" customHeight="false" outlineLevel="0" collapsed="false">
      <c r="A11" s="1" t="s">
        <v>35</v>
      </c>
      <c r="B11" s="3" t="s">
        <v>36</v>
      </c>
      <c r="C11" s="1" t="s">
        <v>17</v>
      </c>
      <c r="D11" s="1" t="s">
        <v>10</v>
      </c>
      <c r="E11" s="4" t="n">
        <v>46043</v>
      </c>
      <c r="F11" s="2" t="n">
        <v>0.17</v>
      </c>
      <c r="G11" s="0" t="n">
        <v>2</v>
      </c>
      <c r="H11" s="5" t="s">
        <v>37</v>
      </c>
      <c r="I11" s="6" t="n">
        <f aca="false">F11*G11</f>
        <v>0.34</v>
      </c>
    </row>
    <row r="12" customFormat="false" ht="12.75" hidden="false" customHeight="false" outlineLevel="0" collapsed="false">
      <c r="A12" s="1" t="s">
        <v>38</v>
      </c>
      <c r="B12" s="3" t="s">
        <v>39</v>
      </c>
      <c r="C12" s="1" t="s">
        <v>17</v>
      </c>
      <c r="D12" s="1" t="s">
        <v>10</v>
      </c>
      <c r="E12" s="4" t="n">
        <v>46043</v>
      </c>
      <c r="F12" s="2" t="n">
        <v>0.49</v>
      </c>
      <c r="G12" s="0" t="n">
        <v>1</v>
      </c>
      <c r="H12" s="5" t="s">
        <v>40</v>
      </c>
      <c r="I12" s="6" t="n">
        <f aca="false">F12*G12</f>
        <v>0.49</v>
      </c>
    </row>
    <row r="13" customFormat="false" ht="12.75" hidden="false" customHeight="false" outlineLevel="0" collapsed="false">
      <c r="A13" s="1" t="s">
        <v>41</v>
      </c>
      <c r="B13" s="3" t="s">
        <v>42</v>
      </c>
      <c r="C13" s="1" t="s">
        <v>43</v>
      </c>
      <c r="D13" s="1" t="s">
        <v>10</v>
      </c>
      <c r="E13" s="4" t="n">
        <v>46043</v>
      </c>
      <c r="F13" s="2" t="n">
        <v>0.49</v>
      </c>
      <c r="G13" s="0" t="n">
        <v>1</v>
      </c>
      <c r="H13" s="5" t="s">
        <v>44</v>
      </c>
      <c r="I13" s="6" t="n">
        <f aca="false">F13*G13</f>
        <v>0.49</v>
      </c>
    </row>
    <row r="14" customFormat="false" ht="12.75" hidden="false" customHeight="false" outlineLevel="0" collapsed="false">
      <c r="A14" s="1" t="s">
        <v>45</v>
      </c>
      <c r="B14" s="3" t="s">
        <v>46</v>
      </c>
      <c r="C14" s="1" t="s">
        <v>9</v>
      </c>
      <c r="D14" s="1" t="s">
        <v>10</v>
      </c>
      <c r="E14" s="4" t="n">
        <v>46037</v>
      </c>
      <c r="F14" s="2" t="n">
        <f aca="false">8.54/12</f>
        <v>0.711666666666667</v>
      </c>
      <c r="G14" s="0" t="n">
        <v>12</v>
      </c>
      <c r="H14" s="5" t="s">
        <v>47</v>
      </c>
      <c r="I14" s="6" t="n">
        <f aca="false">F14*G14</f>
        <v>8.54</v>
      </c>
    </row>
    <row r="15" customFormat="false" ht="12.75" hidden="false" customHeight="false" outlineLevel="0" collapsed="false">
      <c r="A15" s="1" t="s">
        <v>48</v>
      </c>
      <c r="B15" s="3" t="s">
        <v>49</v>
      </c>
      <c r="C15" s="1" t="s">
        <v>17</v>
      </c>
      <c r="D15" s="1" t="s">
        <v>10</v>
      </c>
      <c r="E15" s="4" t="n">
        <v>46043</v>
      </c>
      <c r="F15" s="2" t="n">
        <v>0.1</v>
      </c>
      <c r="G15" s="0" t="n">
        <v>1</v>
      </c>
      <c r="H15" s="5" t="s">
        <v>50</v>
      </c>
      <c r="I15" s="6" t="n">
        <f aca="false">F15*G15</f>
        <v>0.1</v>
      </c>
    </row>
    <row r="16" customFormat="false" ht="12.75" hidden="false" customHeight="false" outlineLevel="0" collapsed="false">
      <c r="A16" s="1" t="s">
        <v>51</v>
      </c>
      <c r="B16" s="3" t="s">
        <v>52</v>
      </c>
      <c r="C16" s="1" t="s">
        <v>17</v>
      </c>
      <c r="D16" s="1" t="s">
        <v>10</v>
      </c>
      <c r="E16" s="4" t="n">
        <v>46043</v>
      </c>
      <c r="F16" s="2" t="n">
        <v>0.11</v>
      </c>
      <c r="G16" s="0" t="n">
        <v>2</v>
      </c>
      <c r="H16" s="5" t="s">
        <v>53</v>
      </c>
      <c r="I16" s="6" t="n">
        <f aca="false">F16*G16</f>
        <v>0.22</v>
      </c>
    </row>
    <row r="17" customFormat="false" ht="12.75" hidden="false" customHeight="false" outlineLevel="0" collapsed="false">
      <c r="A17" s="1" t="s">
        <v>54</v>
      </c>
      <c r="B17" s="3" t="s">
        <v>55</v>
      </c>
      <c r="C17" s="1" t="s">
        <v>17</v>
      </c>
      <c r="D17" s="1" t="s">
        <v>10</v>
      </c>
      <c r="E17" s="4" t="n">
        <v>46043</v>
      </c>
      <c r="F17" s="2" t="n">
        <v>0.11</v>
      </c>
      <c r="G17" s="0" t="n">
        <v>1</v>
      </c>
      <c r="H17" s="5" t="s">
        <v>56</v>
      </c>
      <c r="I17" s="6" t="n">
        <f aca="false">F17*G17</f>
        <v>0.11</v>
      </c>
    </row>
    <row r="18" customFormat="false" ht="12.75" hidden="false" customHeight="false" outlineLevel="0" collapsed="false">
      <c r="A18" s="1" t="s">
        <v>57</v>
      </c>
      <c r="B18" s="3" t="s">
        <v>58</v>
      </c>
      <c r="C18" s="1" t="s">
        <v>17</v>
      </c>
      <c r="D18" s="1" t="s">
        <v>10</v>
      </c>
      <c r="E18" s="4" t="n">
        <v>46043</v>
      </c>
      <c r="F18" s="2" t="n">
        <v>0.1</v>
      </c>
      <c r="G18" s="0" t="n">
        <v>2</v>
      </c>
      <c r="H18" s="5" t="s">
        <v>59</v>
      </c>
      <c r="I18" s="6" t="n">
        <f aca="false">F18*G18</f>
        <v>0.2</v>
      </c>
    </row>
    <row r="19" customFormat="false" ht="12.75" hidden="false" customHeight="false" outlineLevel="0" collapsed="false">
      <c r="A19" s="1" t="s">
        <v>60</v>
      </c>
      <c r="B19" s="3" t="s">
        <v>61</v>
      </c>
      <c r="C19" s="1" t="s">
        <v>9</v>
      </c>
      <c r="D19" s="1" t="s">
        <v>10</v>
      </c>
      <c r="E19" s="4" t="n">
        <v>46037</v>
      </c>
      <c r="F19" s="2" t="n">
        <f aca="false">6.99/100</f>
        <v>0.0699</v>
      </c>
      <c r="G19" s="0" t="n">
        <v>100</v>
      </c>
      <c r="H19" s="5" t="s">
        <v>62</v>
      </c>
      <c r="I19" s="6" t="n">
        <f aca="false">F19*G19</f>
        <v>6.99</v>
      </c>
    </row>
    <row r="20" customFormat="false" ht="12.75" hidden="false" customHeight="false" outlineLevel="0" collapsed="false">
      <c r="A20" s="1" t="s">
        <v>63</v>
      </c>
      <c r="B20" s="3" t="s">
        <v>64</v>
      </c>
      <c r="C20" s="1" t="s">
        <v>17</v>
      </c>
      <c r="D20" s="1" t="s">
        <v>10</v>
      </c>
      <c r="E20" s="4" t="n">
        <v>46043</v>
      </c>
      <c r="F20" s="2" t="n">
        <v>11.99</v>
      </c>
      <c r="G20" s="0" t="n">
        <v>2</v>
      </c>
      <c r="H20" s="5" t="s">
        <v>65</v>
      </c>
      <c r="I20" s="6" t="n">
        <f aca="false">F20*G20</f>
        <v>23.98</v>
      </c>
    </row>
    <row r="21" customFormat="false" ht="12.75" hidden="false" customHeight="false" outlineLevel="0" collapsed="false">
      <c r="A21" s="1" t="s">
        <v>66</v>
      </c>
      <c r="B21" s="3" t="s">
        <v>67</v>
      </c>
      <c r="C21" s="1" t="s">
        <v>9</v>
      </c>
      <c r="D21" s="1" t="s">
        <v>10</v>
      </c>
      <c r="E21" s="4" t="n">
        <v>46037</v>
      </c>
      <c r="F21" s="2" t="n">
        <f aca="false">8.99/100</f>
        <v>0.0899</v>
      </c>
      <c r="G21" s="0" t="n">
        <v>100</v>
      </c>
      <c r="H21" s="5" t="s">
        <v>68</v>
      </c>
      <c r="I21" s="6" t="n">
        <f aca="false">F21*G21</f>
        <v>8.99</v>
      </c>
    </row>
    <row r="22" customFormat="false" ht="12.75" hidden="false" customHeight="false" outlineLevel="0" collapsed="false">
      <c r="A22" s="1" t="s">
        <v>69</v>
      </c>
      <c r="B22" s="3" t="n">
        <v>793481513595</v>
      </c>
      <c r="C22" s="1" t="s">
        <v>9</v>
      </c>
      <c r="D22" s="1" t="s">
        <v>10</v>
      </c>
      <c r="E22" s="4" t="n">
        <v>46039</v>
      </c>
      <c r="F22" s="2" t="n">
        <f aca="false">7.99/50</f>
        <v>0.1598</v>
      </c>
      <c r="G22" s="0" t="n">
        <v>50</v>
      </c>
      <c r="H22" s="5" t="s">
        <v>70</v>
      </c>
      <c r="I22" s="6" t="n">
        <f aca="false">F22*G22</f>
        <v>7.99</v>
      </c>
    </row>
    <row r="23" customFormat="false" ht="12.75" hidden="false" customHeight="false" outlineLevel="0" collapsed="false">
      <c r="A23" s="1" t="s">
        <v>71</v>
      </c>
      <c r="B23" s="3" t="n">
        <v>746591610906</v>
      </c>
      <c r="C23" s="1" t="s">
        <v>9</v>
      </c>
      <c r="D23" s="1" t="s">
        <v>10</v>
      </c>
      <c r="E23" s="4" t="n">
        <v>46037</v>
      </c>
      <c r="F23" s="2" t="n">
        <f aca="false">6.98/120</f>
        <v>0.0581666666666667</v>
      </c>
      <c r="G23" s="0" t="n">
        <v>120</v>
      </c>
      <c r="H23" s="5" t="s">
        <v>72</v>
      </c>
      <c r="I23" s="6" t="n">
        <f aca="false">F23*G23</f>
        <v>6.98</v>
      </c>
    </row>
    <row r="24" customFormat="false" ht="12.75" hidden="false" customHeight="false" outlineLevel="0" collapsed="false">
      <c r="A24" s="1" t="s">
        <v>73</v>
      </c>
      <c r="B24" s="3" t="n">
        <v>41333415017</v>
      </c>
      <c r="C24" s="1" t="s">
        <v>9</v>
      </c>
      <c r="D24" s="1" t="s">
        <v>10</v>
      </c>
      <c r="E24" s="4" t="n">
        <v>46045</v>
      </c>
      <c r="F24" s="2" t="n">
        <f aca="false">9.69/4</f>
        <v>2.4225</v>
      </c>
      <c r="G24" s="0" t="n">
        <v>4</v>
      </c>
      <c r="H24" s="5" t="s">
        <v>74</v>
      </c>
      <c r="I24" s="6" t="n">
        <f aca="false">F24*G24</f>
        <v>9.69</v>
      </c>
    </row>
    <row r="26" customFormat="false" ht="12.75" hidden="false" customHeight="false" outlineLevel="0" collapsed="false">
      <c r="A26" s="1" t="s">
        <v>75</v>
      </c>
      <c r="B26" s="2" t="n">
        <f aca="false">SUM(I2:I24)</f>
        <v>154.29</v>
      </c>
    </row>
  </sheetData>
  <hyperlinks>
    <hyperlink ref="H2" r:id="rId1" display="https://www.amazon.com/dp/B0BWTFN9WF?newOGT=1"/>
    <hyperlink ref="H3" r:id="rId2" display="https://www.amazon.com/dp/B01COSN7O6?psc=1&amp;newOGT=1"/>
    <hyperlink ref="H4" r:id="rId3" display="https://www.digikey.com/en/products/detail/diodes-incorporated/BS170FTA/53877"/>
    <hyperlink ref="H5" r:id="rId4" display="https://www.digikey.com/en/products/detail/texas-instruments/MSP430G2553IPW20R/2638886"/>
    <hyperlink ref="H6" r:id="rId5" display="https://www.amazon.com/dp/B0CJHT8T39?newOGT=1"/>
    <hyperlink ref="H7" r:id="rId6" display="https://www.amazon.com/dp/B09R43HCY3?newOGT=1"/>
    <hyperlink ref="H8" r:id="rId7" display="https://www.amazon.com/dp/B09R43HCY3?newOGT=1"/>
    <hyperlink ref="H9" r:id="rId8" display="https://www.amazon.com/dp/B077N3D7BD?newOGT=1"/>
    <hyperlink ref="H10" r:id="rId9" display="https://www.digikey.com/en/products/detail/samsung-electro-mechanics/CL21A226MQQNNNE/3886758"/>
    <hyperlink ref="H11" r:id="rId10" display="https://www.digikey.com/en/products/detail/murata-electronics/LQM18PN4R7MFRL/4359186"/>
    <hyperlink ref="H12" r:id="rId11" display="https://www.digikey.com/en/products/detail/texas-instruments/TPS613221ADBVR/8638375"/>
    <hyperlink ref="H13" r:id="rId12" display="https://www.digikey.com/en/products/detail/texas-instruments/TPS613222ADBVR/8638376"/>
    <hyperlink ref="H14" r:id="rId13" display="https://www.amazon.com/dp/B09G9TBY38?newOGT=1"/>
    <hyperlink ref="H15" r:id="rId14" display="https://www.digikey.com/en/products/detail/yageo/RC1206FR-0710KL/728483"/>
    <hyperlink ref="H16" r:id="rId15" display="https://www.digikey.com/en/products/detail/walsin-technology-corporation/1206B473K500CT/9355111"/>
    <hyperlink ref="H17" r:id="rId16" display="https://www.digikey.com/en/products/detail/yageo/RC1206FR-071KL/728387"/>
    <hyperlink ref="H18" r:id="rId17" display="https://www.digikey.com/en/products/detail/stackpole-electronics-inc/RMCF1206JT510R/1753855"/>
    <hyperlink ref="H19" r:id="rId18" display="https://www.amazon.com/dp/B01CUGA8JO?newOGT=1"/>
    <hyperlink ref="H20" r:id="rId19" display="https://www.digikey.com/en/products/detail/texas-instruments/MSP-EXP430G2ET/9608004?s=N4IgTCBcDaILIGcAOAWAzABgOZgKy7QAIATAUwDdSAbAeyQFtSA7AF0ICMaBDAJ2JAC6AXyA"/>
    <hyperlink ref="H21" r:id="rId20" display="https://www.amazon.com/dp/B06ZZN8L9S?newOGT=1"/>
    <hyperlink ref="H22" r:id="rId21" display="https://www.amazon.com/dp/B08T5S54C5?newOGT=1"/>
    <hyperlink ref="H23" r:id="rId22" display="https://www.amazon.com/dp/B01EV70C78?psc=1&amp;newOGT=1"/>
    <hyperlink ref="H24" r:id="rId23" display="https://www.amazon.com/dp/B074W8XFT8?newOGT=1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2026-01-14T15:39:04Z</dcterms:created>
  <dc:creator/>
  <dc:description/>
  <dc:language>en-US</dc:language>
  <cp:lastModifiedBy>Yousef Awad</cp:lastModifiedBy>
  <cp:lastPrinted>2026-01-21T19:53:13Z</cp:lastPrinted>
  <dcterms:modified xsi:type="dcterms:W3CDTF">2026-01-21T19:53:56Z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